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bots\"/>
    </mc:Choice>
  </mc:AlternateContent>
  <xr:revisionPtr revIDLastSave="0" documentId="13_ncr:1_{BC165573-2FF8-4D1A-92FC-44C4A385250B}" xr6:coauthVersionLast="47" xr6:coauthVersionMax="47" xr10:uidLastSave="{00000000-0000-0000-0000-000000000000}"/>
  <bookViews>
    <workbookView xWindow="-108" yWindow="-108" windowWidth="23256" windowHeight="12456" firstSheet="1" activeTab="4" xr2:uid="{3B8513BF-6068-434B-B795-5CE86E6EE1B8}"/>
  </bookViews>
  <sheets>
    <sheet name="JML 1q MAIO" sheetId="1" r:id="rId1"/>
    <sheet name="ITR 1q MAIO" sheetId="2" r:id="rId2"/>
    <sheet name="JML 2q MAIO" sheetId="3" r:id="rId3"/>
    <sheet name="ITR 2q MAIO" sheetId="4" r:id="rId4"/>
    <sheet name="JML 1q JUN" sheetId="5" r:id="rId5"/>
    <sheet name="ITR 1q JUN" sheetId="6" r:id="rId6"/>
    <sheet name="JML 2q JUN" sheetId="7" r:id="rId7"/>
    <sheet name="ITR 2q JUN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8" i="6" l="1"/>
  <c r="H7" i="6"/>
  <c r="H6" i="6"/>
  <c r="H9" i="5"/>
  <c r="H8" i="5"/>
  <c r="H10" i="5"/>
  <c r="H5" i="5"/>
  <c r="H3" i="5"/>
  <c r="H7" i="5"/>
  <c r="H5" i="6"/>
  <c r="H4" i="6"/>
  <c r="H3" i="6"/>
  <c r="H4" i="5"/>
  <c r="H6" i="5"/>
  <c r="H17" i="1"/>
  <c r="H16" i="1"/>
  <c r="H15" i="1"/>
  <c r="H14" i="1"/>
  <c r="H4" i="1"/>
  <c r="H5" i="1"/>
  <c r="H6" i="1"/>
  <c r="H7" i="1"/>
  <c r="H8" i="1"/>
  <c r="H9" i="1"/>
  <c r="H10" i="1"/>
  <c r="H11" i="1"/>
  <c r="H12" i="1"/>
  <c r="H13" i="1"/>
  <c r="H3" i="1"/>
  <c r="H4" i="4"/>
  <c r="H3" i="4"/>
  <c r="H5" i="3"/>
  <c r="H4" i="3"/>
</calcChain>
</file>

<file path=xl/sharedStrings.xml><?xml version="1.0" encoding="utf-8"?>
<sst xmlns="http://schemas.openxmlformats.org/spreadsheetml/2006/main" count="331" uniqueCount="46">
  <si>
    <t>EXTRAVIO IMILE</t>
  </si>
  <si>
    <t>AWB</t>
  </si>
  <si>
    <t xml:space="preserve">NOME DO RESPONSAVEL </t>
  </si>
  <si>
    <t>DS</t>
  </si>
  <si>
    <t>MOTIVO</t>
  </si>
  <si>
    <t>DATA</t>
  </si>
  <si>
    <t>Valor do pedido</t>
  </si>
  <si>
    <t>Multa Contratual</t>
  </si>
  <si>
    <t>R$</t>
  </si>
  <si>
    <t>TIPO</t>
  </si>
  <si>
    <t>NOTIFICADO</t>
  </si>
  <si>
    <t>Goods Lost</t>
  </si>
  <si>
    <t>SIM</t>
  </si>
  <si>
    <t>Fake Delivery</t>
  </si>
  <si>
    <t>DS JML</t>
  </si>
  <si>
    <t>BASE</t>
  </si>
  <si>
    <t>DS ITR</t>
  </si>
  <si>
    <t>BASE(itallo)</t>
  </si>
  <si>
    <t>6051026466983</t>
  </si>
  <si>
    <t>6051026677952</t>
  </si>
  <si>
    <t>6051226226761</t>
  </si>
  <si>
    <t>6051226123831</t>
  </si>
  <si>
    <t>Good Lost</t>
  </si>
  <si>
    <t>3320065407686</t>
  </si>
  <si>
    <t>PAMELA REZENDE</t>
  </si>
  <si>
    <t>MOTORSTA</t>
  </si>
  <si>
    <t>LUCAS FELIPE</t>
  </si>
  <si>
    <t>MOTORISTA</t>
  </si>
  <si>
    <t>LUCAS DE SOUZA</t>
  </si>
  <si>
    <t>IVAN NELIS XAVIER</t>
  </si>
  <si>
    <t>ROGER CARLOS BRAGA</t>
  </si>
  <si>
    <t>itallo vieira</t>
  </si>
  <si>
    <t xml:space="preserve">CÓDIGO </t>
  </si>
  <si>
    <t>RESPONSÁVEL</t>
  </si>
  <si>
    <t>VALOR</t>
  </si>
  <si>
    <t>MULTA</t>
  </si>
  <si>
    <t>EXTRAVIO</t>
  </si>
  <si>
    <t>INTERNO</t>
  </si>
  <si>
    <t>ACAREAÇÃO</t>
  </si>
  <si>
    <t>TOTAL</t>
  </si>
  <si>
    <t>LUCAS SANTOS</t>
  </si>
  <si>
    <t xml:space="preserve">Good Lost </t>
  </si>
  <si>
    <t>BASE STB</t>
  </si>
  <si>
    <t>FAKE DELIVERY</t>
  </si>
  <si>
    <t>MOTORISTAS</t>
  </si>
  <si>
    <t>acareação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</si>
</sst>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Segoe UI"/>
      <family val="2"/>
    </font>
    <font>
      <b/>
      <sz val="9"/>
      <color theme="1"/>
      <name val="Segoe UI"/>
      <family val="2"/>
    </font>
    <font>
      <sz val="9"/>
      <color rgb="FF000417"/>
      <name val="Arial"/>
      <family val="2"/>
    </font>
    <font>
      <sz val="9"/>
      <color theme="1"/>
      <name val="Aptos Narrow"/>
      <family val="2"/>
      <scheme val="minor"/>
    </font>
    <font>
      <sz val="10"/>
      <color rgb="FF000417"/>
      <name val="Arial"/>
      <family val="2"/>
    </font>
    <font>
      <b/>
      <sz val="10"/>
      <color theme="0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4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44" fontId="0" fillId="0" borderId="0" xfId="1" applyFont="1"/>
    <xf numFmtId="1" fontId="6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44" fontId="5" fillId="0" borderId="0" xfId="1" applyFont="1" applyAlignment="1">
      <alignment horizontal="center"/>
    </xf>
    <xf numFmtId="44" fontId="1" fillId="0" borderId="0" xfId="1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6" fillId="4" borderId="0" xfId="0" applyNumberFormat="1" applyFont="1" applyFill="1" applyAlignment="1">
      <alignment horizontal="center"/>
    </xf>
    <xf numFmtId="1" fontId="7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1" fontId="8" fillId="0" borderId="0" xfId="0" applyNumberFormat="1" applyFont="1"/>
    <xf numFmtId="0" fontId="9" fillId="0" borderId="0" xfId="0" applyFont="1"/>
    <xf numFmtId="0" fontId="1" fillId="5" borderId="2" xfId="0" applyFont="1" applyFill="1" applyBorder="1"/>
    <xf numFmtId="0" fontId="1" fillId="0" borderId="2" xfId="0" applyFont="1" applyBorder="1"/>
    <xf numFmtId="44" fontId="10" fillId="0" borderId="0" xfId="3" applyFont="1" applyAlignment="1">
      <alignment horizontal="center"/>
    </xf>
    <xf numFmtId="44" fontId="5" fillId="0" borderId="0" xfId="3" applyFont="1" applyAlignment="1">
      <alignment horizontal="center"/>
    </xf>
    <xf numFmtId="164" fontId="11" fillId="0" borderId="0" xfId="0" applyNumberFormat="1" applyFont="1"/>
    <xf numFmtId="1" fontId="0" fillId="5" borderId="3" xfId="0" applyNumberFormat="1" applyFill="1" applyBorder="1"/>
    <xf numFmtId="1" fontId="0" fillId="0" borderId="3" xfId="0" applyNumberFormat="1" applyBorder="1"/>
    <xf numFmtId="164" fontId="0" fillId="0" borderId="0" xfId="1" applyNumberFormat="1" applyFont="1"/>
    <xf numFmtId="44" fontId="0" fillId="0" borderId="0" xfId="0" applyNumberFormat="1"/>
    <xf numFmtId="1" fontId="2" fillId="0" borderId="3" xfId="0" applyNumberFormat="1" applyFont="1" applyBorder="1"/>
    <xf numFmtId="0" fontId="12" fillId="6" borderId="0" xfId="0" applyFont="1" applyFill="1" applyAlignment="1">
      <alignment horizontal="center" vertical="center"/>
    </xf>
    <xf numFmtId="0" fontId="5" fillId="0" borderId="0" xfId="0" applyFont="1"/>
    <xf numFmtId="0" fontId="3" fillId="2" borderId="1" xfId="0" applyFont="1" applyFill="1" applyBorder="1"/>
    <xf numFmtId="0" fontId="3" fillId="4" borderId="1" xfId="0" applyFont="1" applyFill="1" applyBorder="1"/>
    <xf numFmtId="164" fontId="2" fillId="4" borderId="1" xfId="0" applyNumberFormat="1" applyFont="1" applyFill="1" applyBorder="1" applyAlignment="1">
      <alignment horizontal="center"/>
    </xf>
    <xf numFmtId="1" fontId="2" fillId="5" borderId="3" xfId="0" applyNumberFormat="1" applyFont="1" applyFill="1" applyBorder="1"/>
    <xf numFmtId="164" fontId="13" fillId="6" borderId="1" xfId="0" applyNumberFormat="1" applyFont="1" applyFill="1" applyBorder="1" applyAlignment="1">
      <alignment horizontal="center"/>
    </xf>
    <xf numFmtId="1" fontId="2" fillId="0" borderId="0" xfId="0" applyNumberFormat="1" applyFont="1"/>
    <xf numFmtId="1" fontId="14" fillId="4" borderId="0" xfId="0" applyNumberFormat="1" applyFont="1" applyFill="1"/>
    <xf numFmtId="0" fontId="3" fillId="2" borderId="1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</cellXfs>
  <cellStyles count="4">
    <cellStyle name="Moeda" xfId="1" builtinId="4"/>
    <cellStyle name="Moeda 2" xfId="3" xr:uid="{3D89FBA1-EE39-4123-91CF-1DD4758344F1}"/>
    <cellStyle name="Normal" xfId="0" builtinId="0"/>
    <cellStyle name="Normal 2" xfId="2" xr:uid="{3EB34BAA-C77B-4C63-9079-9D45E3D91F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E3C4B-7688-4240-85CF-15FF795A1F57}">
  <dimension ref="A1:J22"/>
  <sheetViews>
    <sheetView workbookViewId="0">
      <selection activeCell="A17" sqref="A17"/>
    </sheetView>
  </sheetViews>
  <sheetFormatPr defaultColWidth="12.33203125" defaultRowHeight="14.4" x14ac:dyDescent="0.3"/>
  <cols>
    <col min="1" max="1" width="16" bestFit="1" customWidth="1"/>
    <col min="2" max="2" width="10.6640625" bestFit="1" customWidth="1"/>
    <col min="4" max="4" width="20.21875" bestFit="1" customWidth="1"/>
    <col min="6" max="6" width="14.109375" bestFit="1" customWidth="1"/>
    <col min="7" max="7" width="14.88671875" bestFit="1" customWidth="1"/>
  </cols>
  <sheetData>
    <row r="1" spans="1:10" ht="25.8" x14ac:dyDescent="0.5">
      <c r="A1" s="35" t="s">
        <v>0</v>
      </c>
      <c r="B1" s="36"/>
      <c r="C1" s="36"/>
      <c r="D1" s="36"/>
      <c r="E1" s="36"/>
      <c r="F1" s="36"/>
      <c r="G1" s="36"/>
      <c r="H1" s="37"/>
      <c r="I1" s="28"/>
      <c r="J1" s="28"/>
    </row>
    <row r="2" spans="1:10" x14ac:dyDescent="0.3">
      <c r="A2" s="25" t="s">
        <v>32</v>
      </c>
      <c r="B2" s="25" t="s">
        <v>4</v>
      </c>
      <c r="C2" s="25" t="s">
        <v>9</v>
      </c>
      <c r="D2" s="25" t="s">
        <v>33</v>
      </c>
      <c r="E2" s="25" t="s">
        <v>34</v>
      </c>
      <c r="F2" s="25" t="s">
        <v>35</v>
      </c>
      <c r="G2" s="25" t="s">
        <v>10</v>
      </c>
      <c r="H2" s="31" t="s">
        <v>39</v>
      </c>
      <c r="I2" s="29"/>
      <c r="J2" s="29"/>
    </row>
    <row r="3" spans="1:10" x14ac:dyDescent="0.3">
      <c r="A3" s="5">
        <v>3320084476158</v>
      </c>
      <c r="B3" s="26" t="s">
        <v>36</v>
      </c>
      <c r="C3" t="s">
        <v>27</v>
      </c>
      <c r="D3" t="s">
        <v>26</v>
      </c>
      <c r="E3" s="19">
        <v>5.0199999999999996</v>
      </c>
      <c r="F3" s="4">
        <v>0</v>
      </c>
      <c r="G3" t="s">
        <v>12</v>
      </c>
      <c r="H3" s="22">
        <f>E3+F3</f>
        <v>5.0199999999999996</v>
      </c>
    </row>
    <row r="4" spans="1:10" x14ac:dyDescent="0.3">
      <c r="A4" s="5">
        <v>6052826446865</v>
      </c>
      <c r="B4" s="26" t="s">
        <v>36</v>
      </c>
      <c r="C4" t="s">
        <v>27</v>
      </c>
      <c r="D4" t="s">
        <v>28</v>
      </c>
      <c r="E4" s="8">
        <v>4.4000000000000004</v>
      </c>
      <c r="F4" s="4">
        <v>0</v>
      </c>
      <c r="G4" t="s">
        <v>12</v>
      </c>
      <c r="H4" s="22">
        <f t="shared" ref="H4:H17" si="0">E4+F4</f>
        <v>4.4000000000000004</v>
      </c>
    </row>
    <row r="5" spans="1:10" x14ac:dyDescent="0.3">
      <c r="A5" s="5">
        <v>3320007494975</v>
      </c>
      <c r="B5" s="26" t="s">
        <v>36</v>
      </c>
      <c r="C5" t="s">
        <v>27</v>
      </c>
      <c r="D5" t="s">
        <v>28</v>
      </c>
      <c r="E5" s="8">
        <v>53.99</v>
      </c>
      <c r="F5" s="4">
        <v>0</v>
      </c>
      <c r="G5" t="s">
        <v>12</v>
      </c>
      <c r="H5" s="22">
        <f t="shared" si="0"/>
        <v>53.99</v>
      </c>
    </row>
    <row r="6" spans="1:10" x14ac:dyDescent="0.3">
      <c r="A6" s="24">
        <v>3320064486288</v>
      </c>
      <c r="B6" s="26" t="s">
        <v>36</v>
      </c>
      <c r="C6" t="s">
        <v>27</v>
      </c>
      <c r="D6" t="s">
        <v>29</v>
      </c>
      <c r="E6" s="8">
        <v>2.08</v>
      </c>
      <c r="F6" s="4">
        <v>0</v>
      </c>
      <c r="G6" t="s">
        <v>12</v>
      </c>
      <c r="H6" s="22">
        <f t="shared" si="0"/>
        <v>2.08</v>
      </c>
    </row>
    <row r="7" spans="1:10" x14ac:dyDescent="0.3">
      <c r="A7" s="5">
        <v>3320072488775</v>
      </c>
      <c r="B7" s="26" t="s">
        <v>36</v>
      </c>
      <c r="C7" s="26" t="s">
        <v>37</v>
      </c>
      <c r="D7" t="s">
        <v>15</v>
      </c>
      <c r="E7" s="8">
        <v>13.99</v>
      </c>
      <c r="F7" s="4">
        <v>0</v>
      </c>
      <c r="G7" t="s">
        <v>12</v>
      </c>
      <c r="H7" s="22">
        <f t="shared" si="0"/>
        <v>13.99</v>
      </c>
    </row>
    <row r="8" spans="1:10" x14ac:dyDescent="0.3">
      <c r="A8" s="5">
        <v>3320039484963</v>
      </c>
      <c r="B8" s="26" t="s">
        <v>36</v>
      </c>
      <c r="C8" s="26" t="s">
        <v>37</v>
      </c>
      <c r="D8" t="s">
        <v>15</v>
      </c>
      <c r="E8" s="4">
        <v>25.65</v>
      </c>
      <c r="F8" s="4">
        <v>0</v>
      </c>
      <c r="G8" t="s">
        <v>12</v>
      </c>
      <c r="H8" s="22">
        <f t="shared" si="0"/>
        <v>25.65</v>
      </c>
    </row>
    <row r="9" spans="1:10" x14ac:dyDescent="0.3">
      <c r="A9" s="5">
        <v>3320007498707</v>
      </c>
      <c r="B9" s="26" t="s">
        <v>38</v>
      </c>
      <c r="C9" t="s">
        <v>27</v>
      </c>
      <c r="D9" t="s">
        <v>30</v>
      </c>
      <c r="E9" s="8">
        <v>14.83</v>
      </c>
      <c r="F9" s="4">
        <v>100</v>
      </c>
      <c r="G9" t="s">
        <v>12</v>
      </c>
      <c r="H9" s="22">
        <f t="shared" si="0"/>
        <v>114.83</v>
      </c>
    </row>
    <row r="10" spans="1:10" x14ac:dyDescent="0.3">
      <c r="A10" s="5">
        <v>3320007498707</v>
      </c>
      <c r="B10" s="26" t="s">
        <v>38</v>
      </c>
      <c r="C10" s="26" t="s">
        <v>37</v>
      </c>
      <c r="D10" t="s">
        <v>31</v>
      </c>
      <c r="E10" s="8">
        <v>2.25</v>
      </c>
      <c r="F10" s="4">
        <v>100</v>
      </c>
      <c r="G10" s="26" t="s">
        <v>12</v>
      </c>
      <c r="H10" s="22">
        <f t="shared" si="0"/>
        <v>102.25</v>
      </c>
    </row>
    <row r="11" spans="1:10" x14ac:dyDescent="0.3">
      <c r="A11" s="5">
        <v>3320033496650</v>
      </c>
      <c r="B11" s="26" t="s">
        <v>38</v>
      </c>
      <c r="C11" t="s">
        <v>27</v>
      </c>
      <c r="D11" t="s">
        <v>28</v>
      </c>
      <c r="E11" s="8">
        <v>0.28000000000000003</v>
      </c>
      <c r="F11" s="4">
        <v>100</v>
      </c>
      <c r="G11" s="26" t="s">
        <v>12</v>
      </c>
      <c r="H11" s="22">
        <f t="shared" si="0"/>
        <v>100.28</v>
      </c>
    </row>
    <row r="12" spans="1:10" x14ac:dyDescent="0.3">
      <c r="A12" s="5">
        <v>3320050492756</v>
      </c>
      <c r="B12" s="26" t="s">
        <v>38</v>
      </c>
      <c r="C12" t="s">
        <v>27</v>
      </c>
      <c r="D12" t="s">
        <v>28</v>
      </c>
      <c r="E12" s="8">
        <v>8.1</v>
      </c>
      <c r="F12" s="4">
        <v>100</v>
      </c>
      <c r="G12" s="26" t="s">
        <v>12</v>
      </c>
      <c r="H12" s="22">
        <f t="shared" si="0"/>
        <v>108.1</v>
      </c>
    </row>
    <row r="13" spans="1:10" x14ac:dyDescent="0.3">
      <c r="A13" s="5">
        <v>6052226637265</v>
      </c>
      <c r="B13" s="26" t="s">
        <v>38</v>
      </c>
      <c r="C13" t="s">
        <v>27</v>
      </c>
      <c r="D13" t="s">
        <v>28</v>
      </c>
      <c r="E13" s="8">
        <v>33.19</v>
      </c>
      <c r="F13" s="4">
        <v>100</v>
      </c>
      <c r="G13" s="26" t="s">
        <v>12</v>
      </c>
      <c r="H13" s="22">
        <f t="shared" si="0"/>
        <v>133.19</v>
      </c>
    </row>
    <row r="14" spans="1:10" x14ac:dyDescent="0.3">
      <c r="A14" s="9">
        <v>6052826442854</v>
      </c>
      <c r="B14" s="26" t="s">
        <v>36</v>
      </c>
      <c r="C14" s="26" t="s">
        <v>37</v>
      </c>
      <c r="D14" t="s">
        <v>15</v>
      </c>
      <c r="E14" s="8">
        <v>136.78</v>
      </c>
      <c r="F14" s="4">
        <v>0</v>
      </c>
      <c r="G14" s="26" t="s">
        <v>12</v>
      </c>
      <c r="H14" s="4">
        <f t="shared" si="0"/>
        <v>136.78</v>
      </c>
    </row>
    <row r="15" spans="1:10" x14ac:dyDescent="0.3">
      <c r="A15" s="9">
        <v>6052326897358</v>
      </c>
      <c r="B15" s="26" t="s">
        <v>36</v>
      </c>
      <c r="C15" s="26" t="s">
        <v>37</v>
      </c>
      <c r="D15" t="s">
        <v>15</v>
      </c>
      <c r="E15" s="8">
        <v>127.8</v>
      </c>
      <c r="F15" s="7">
        <v>0</v>
      </c>
      <c r="G15" s="26" t="s">
        <v>12</v>
      </c>
      <c r="H15" s="4">
        <f t="shared" si="0"/>
        <v>127.8</v>
      </c>
    </row>
    <row r="16" spans="1:10" x14ac:dyDescent="0.3">
      <c r="A16" s="9">
        <v>3320052511767</v>
      </c>
      <c r="B16" s="26" t="s">
        <v>36</v>
      </c>
      <c r="C16" s="26" t="s">
        <v>37</v>
      </c>
      <c r="D16" t="s">
        <v>15</v>
      </c>
      <c r="E16" s="8">
        <v>11.8</v>
      </c>
      <c r="F16" s="7">
        <v>0</v>
      </c>
      <c r="G16" s="4" t="s">
        <v>12</v>
      </c>
      <c r="H16" s="4">
        <f t="shared" si="0"/>
        <v>11.8</v>
      </c>
    </row>
    <row r="17" spans="1:8" x14ac:dyDescent="0.3">
      <c r="A17" s="9">
        <v>3320083505819</v>
      </c>
      <c r="B17" s="26" t="s">
        <v>36</v>
      </c>
      <c r="C17" s="26" t="s">
        <v>37</v>
      </c>
      <c r="D17" t="s">
        <v>15</v>
      </c>
      <c r="E17" s="8">
        <v>13.39</v>
      </c>
      <c r="F17" s="7">
        <v>0</v>
      </c>
      <c r="G17" s="4" t="s">
        <v>12</v>
      </c>
      <c r="H17" s="4">
        <f t="shared" si="0"/>
        <v>13.39</v>
      </c>
    </row>
    <row r="18" spans="1:8" x14ac:dyDescent="0.3">
      <c r="A18" s="9"/>
      <c r="E18" s="6"/>
      <c r="F18" s="7"/>
      <c r="G18" s="4"/>
      <c r="H18" s="4"/>
    </row>
    <row r="19" spans="1:8" x14ac:dyDescent="0.3">
      <c r="A19" s="9"/>
      <c r="E19" s="6"/>
      <c r="F19" s="7"/>
      <c r="G19" s="4"/>
      <c r="H19" s="4"/>
    </row>
    <row r="20" spans="1:8" x14ac:dyDescent="0.3">
      <c r="A20" s="9"/>
      <c r="E20" s="6"/>
      <c r="F20" s="7"/>
      <c r="G20" s="4"/>
      <c r="H20" s="4"/>
    </row>
    <row r="21" spans="1:8" x14ac:dyDescent="0.3">
      <c r="A21" s="9"/>
      <c r="E21" s="6"/>
      <c r="F21" s="7"/>
      <c r="G21" s="4"/>
      <c r="H21" s="4"/>
    </row>
    <row r="22" spans="1:8" x14ac:dyDescent="0.3">
      <c r="A22" s="9"/>
      <c r="E22" s="6"/>
      <c r="F22" s="7"/>
      <c r="G22" s="4"/>
      <c r="H22" s="4"/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C1248-6FFD-4224-A951-753C70D4AFF1}">
  <dimension ref="A1:L24"/>
  <sheetViews>
    <sheetView workbookViewId="0">
      <selection activeCell="A5" sqref="A5"/>
    </sheetView>
  </sheetViews>
  <sheetFormatPr defaultRowHeight="14.4" x14ac:dyDescent="0.3"/>
  <cols>
    <col min="1" max="1" width="16" bestFit="1" customWidth="1"/>
    <col min="2" max="2" width="10.77734375" customWidth="1"/>
    <col min="3" max="3" width="10.5546875" bestFit="1" customWidth="1"/>
    <col min="4" max="4" width="12.44140625" bestFit="1" customWidth="1"/>
    <col min="5" max="5" width="10.44140625" bestFit="1" customWidth="1"/>
    <col min="6" max="6" width="15.109375" bestFit="1" customWidth="1"/>
    <col min="7" max="7" width="16.109375" bestFit="1" customWidth="1"/>
    <col min="8" max="8" width="10.5546875" bestFit="1" customWidth="1"/>
    <col min="9" max="9" width="9.44140625" bestFit="1" customWidth="1"/>
    <col min="10" max="10" width="12.44140625" bestFit="1" customWidth="1"/>
    <col min="12" max="12" width="10.33203125" bestFit="1" customWidth="1"/>
  </cols>
  <sheetData>
    <row r="1" spans="1:12" ht="25.8" x14ac:dyDescent="0.5">
      <c r="A1" s="35" t="s">
        <v>0</v>
      </c>
      <c r="B1" s="36"/>
      <c r="C1" s="36"/>
      <c r="D1" s="36"/>
      <c r="E1" s="36"/>
      <c r="F1" s="36"/>
      <c r="G1" s="37"/>
      <c r="H1" s="27"/>
      <c r="I1" s="27"/>
      <c r="J1" s="27"/>
    </row>
    <row r="2" spans="1:12" x14ac:dyDescent="0.3">
      <c r="A2" s="25" t="s">
        <v>32</v>
      </c>
      <c r="B2" s="25" t="s">
        <v>4</v>
      </c>
      <c r="C2" s="25" t="s">
        <v>9</v>
      </c>
      <c r="D2" s="25" t="s">
        <v>33</v>
      </c>
      <c r="E2" s="25" t="s">
        <v>34</v>
      </c>
      <c r="F2" s="25" t="s">
        <v>35</v>
      </c>
      <c r="G2" s="25" t="s">
        <v>10</v>
      </c>
      <c r="H2" s="3"/>
      <c r="I2" s="3"/>
      <c r="J2" s="3"/>
    </row>
    <row r="3" spans="1:12" x14ac:dyDescent="0.3">
      <c r="A3" s="30">
        <v>6052826214958</v>
      </c>
      <c r="B3" t="s">
        <v>36</v>
      </c>
      <c r="C3" t="s">
        <v>27</v>
      </c>
      <c r="D3" t="s">
        <v>40</v>
      </c>
      <c r="E3" s="7">
        <v>12.8</v>
      </c>
      <c r="F3" s="4">
        <v>0</v>
      </c>
      <c r="G3" t="s">
        <v>12</v>
      </c>
      <c r="H3" s="4"/>
    </row>
    <row r="4" spans="1:12" x14ac:dyDescent="0.3">
      <c r="A4" s="24">
        <v>6051726668112</v>
      </c>
      <c r="B4" t="s">
        <v>36</v>
      </c>
      <c r="C4" t="s">
        <v>27</v>
      </c>
      <c r="D4" t="s">
        <v>40</v>
      </c>
      <c r="E4" s="7">
        <v>69.62</v>
      </c>
      <c r="F4" s="4">
        <v>0</v>
      </c>
      <c r="G4" t="s">
        <v>12</v>
      </c>
      <c r="H4" s="4"/>
    </row>
    <row r="5" spans="1:12" x14ac:dyDescent="0.3">
      <c r="A5" s="30">
        <v>6052826388440</v>
      </c>
      <c r="B5" t="s">
        <v>36</v>
      </c>
      <c r="C5" t="s">
        <v>27</v>
      </c>
      <c r="D5" t="s">
        <v>40</v>
      </c>
      <c r="E5" s="7">
        <v>34.99</v>
      </c>
      <c r="F5" s="4">
        <v>0</v>
      </c>
      <c r="G5" t="s">
        <v>12</v>
      </c>
      <c r="H5" s="4"/>
    </row>
    <row r="6" spans="1:12" x14ac:dyDescent="0.3">
      <c r="A6" s="24">
        <v>6052426682565</v>
      </c>
      <c r="B6" t="s">
        <v>36</v>
      </c>
      <c r="C6" t="s">
        <v>27</v>
      </c>
      <c r="D6" t="s">
        <v>40</v>
      </c>
      <c r="E6" s="7">
        <v>85.26</v>
      </c>
      <c r="F6" s="4">
        <v>0</v>
      </c>
      <c r="G6" t="s">
        <v>12</v>
      </c>
      <c r="H6" s="4"/>
    </row>
    <row r="7" spans="1:12" x14ac:dyDescent="0.3">
      <c r="A7" s="30">
        <v>6052826628991</v>
      </c>
      <c r="B7" t="s">
        <v>36</v>
      </c>
      <c r="C7" t="s">
        <v>27</v>
      </c>
      <c r="D7" t="s">
        <v>40</v>
      </c>
      <c r="E7" s="8">
        <v>101.73</v>
      </c>
      <c r="F7" s="4">
        <v>0</v>
      </c>
      <c r="G7" t="s">
        <v>12</v>
      </c>
      <c r="H7" s="4"/>
      <c r="L7" s="23"/>
    </row>
    <row r="8" spans="1:12" x14ac:dyDescent="0.3">
      <c r="A8" s="24">
        <v>3320004491054</v>
      </c>
      <c r="B8" t="s">
        <v>36</v>
      </c>
      <c r="C8" s="26" t="s">
        <v>37</v>
      </c>
      <c r="D8" t="s">
        <v>15</v>
      </c>
      <c r="E8" s="8">
        <v>22.89</v>
      </c>
      <c r="F8" s="4">
        <v>0</v>
      </c>
      <c r="G8" t="s">
        <v>12</v>
      </c>
      <c r="H8" s="4"/>
    </row>
    <row r="9" spans="1:12" x14ac:dyDescent="0.3">
      <c r="A9" s="5">
        <v>3320007498707</v>
      </c>
      <c r="B9" s="26" t="s">
        <v>38</v>
      </c>
      <c r="C9" s="26" t="s">
        <v>37</v>
      </c>
      <c r="D9" t="s">
        <v>31</v>
      </c>
      <c r="E9" s="8">
        <v>2.25</v>
      </c>
      <c r="F9" s="4">
        <v>100</v>
      </c>
      <c r="G9" s="26" t="s">
        <v>12</v>
      </c>
      <c r="H9" s="4"/>
    </row>
    <row r="10" spans="1:12" x14ac:dyDescent="0.3">
      <c r="A10" s="5"/>
      <c r="B10" s="26"/>
      <c r="C10" s="26"/>
      <c r="E10" s="8"/>
      <c r="F10" s="4"/>
      <c r="G10" s="26"/>
      <c r="H10" s="4"/>
    </row>
    <row r="11" spans="1:12" x14ac:dyDescent="0.3">
      <c r="A11" s="5"/>
      <c r="E11" s="6"/>
      <c r="F11" s="8"/>
      <c r="G11" s="4"/>
      <c r="H11" s="4"/>
    </row>
    <row r="12" spans="1:12" x14ac:dyDescent="0.3">
      <c r="A12" s="5"/>
      <c r="E12" s="6"/>
      <c r="F12" s="8"/>
      <c r="G12" s="4"/>
      <c r="H12" s="4"/>
    </row>
    <row r="13" spans="1:12" x14ac:dyDescent="0.3">
      <c r="A13" s="9"/>
      <c r="E13" s="6"/>
      <c r="F13" s="7"/>
      <c r="G13" s="4"/>
      <c r="H13" s="4"/>
    </row>
    <row r="14" spans="1:12" x14ac:dyDescent="0.3">
      <c r="A14" s="9"/>
      <c r="E14" s="6"/>
      <c r="F14" s="7"/>
      <c r="G14" s="4"/>
      <c r="H14" s="4"/>
    </row>
    <row r="15" spans="1:12" x14ac:dyDescent="0.3">
      <c r="A15" s="9"/>
      <c r="E15" s="6"/>
      <c r="F15" s="7"/>
      <c r="G15" s="4"/>
      <c r="H15" s="4"/>
    </row>
    <row r="16" spans="1:12" x14ac:dyDescent="0.3">
      <c r="A16" s="9"/>
      <c r="E16" s="6"/>
      <c r="F16" s="7"/>
      <c r="G16" s="4"/>
      <c r="H16" s="4"/>
    </row>
    <row r="17" spans="1:10" x14ac:dyDescent="0.3">
      <c r="A17" s="9"/>
      <c r="E17" s="6"/>
      <c r="F17" s="7"/>
      <c r="G17" s="4"/>
      <c r="H17" s="4"/>
    </row>
    <row r="18" spans="1:10" x14ac:dyDescent="0.3">
      <c r="A18" s="1"/>
      <c r="B18" s="1"/>
      <c r="C18" s="1"/>
      <c r="D18" s="1"/>
      <c r="E18" s="2"/>
      <c r="F18" s="3"/>
      <c r="G18" s="3"/>
      <c r="H18" s="3"/>
      <c r="I18" s="3"/>
      <c r="J18" s="3"/>
    </row>
    <row r="19" spans="1:10" x14ac:dyDescent="0.3">
      <c r="A19" s="20"/>
      <c r="E19" s="12"/>
      <c r="F19" s="7"/>
      <c r="G19" s="4"/>
      <c r="H19" s="4"/>
    </row>
    <row r="20" spans="1:10" x14ac:dyDescent="0.3">
      <c r="A20" s="21"/>
      <c r="E20" s="12"/>
      <c r="F20" s="7"/>
      <c r="G20" s="4"/>
      <c r="H20" s="4"/>
    </row>
    <row r="21" spans="1:10" x14ac:dyDescent="0.3">
      <c r="A21" s="20"/>
      <c r="E21" s="12"/>
      <c r="F21" s="7"/>
      <c r="G21" s="4"/>
      <c r="H21" s="4"/>
    </row>
    <row r="22" spans="1:10" x14ac:dyDescent="0.3">
      <c r="A22" s="21"/>
      <c r="E22" s="12"/>
      <c r="F22" s="7"/>
      <c r="G22" s="4"/>
      <c r="H22" s="4"/>
    </row>
    <row r="23" spans="1:10" x14ac:dyDescent="0.3">
      <c r="A23" s="20"/>
      <c r="E23" s="12"/>
      <c r="F23" s="8"/>
      <c r="G23" s="4"/>
      <c r="H23" s="4"/>
    </row>
    <row r="24" spans="1:10" x14ac:dyDescent="0.3">
      <c r="A24" s="21"/>
      <c r="E24" s="12"/>
      <c r="F24" s="8"/>
      <c r="G24" s="4"/>
      <c r="H24" s="4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7342D-FA45-4ED6-BFA5-A60E923C5E7F}">
  <dimension ref="A1:J13"/>
  <sheetViews>
    <sheetView workbookViewId="0">
      <selection activeCell="C3" sqref="C3"/>
    </sheetView>
  </sheetViews>
  <sheetFormatPr defaultRowHeight="14.4" x14ac:dyDescent="0.3"/>
  <cols>
    <col min="1" max="1" width="14.109375" bestFit="1" customWidth="1"/>
    <col min="5" max="5" width="10.44140625" bestFit="1" customWidth="1"/>
    <col min="7" max="7" width="16.109375" bestFit="1" customWidth="1"/>
    <col min="8" max="8" width="10.5546875" bestFit="1" customWidth="1"/>
  </cols>
  <sheetData>
    <row r="1" spans="1:10" ht="25.8" x14ac:dyDescent="0.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3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x14ac:dyDescent="0.3">
      <c r="A3" s="15" t="s">
        <v>18</v>
      </c>
      <c r="B3" t="s">
        <v>15</v>
      </c>
      <c r="C3" t="s">
        <v>14</v>
      </c>
      <c r="D3" t="s">
        <v>11</v>
      </c>
      <c r="E3" s="12">
        <v>46169</v>
      </c>
      <c r="F3" s="7">
        <v>83.47</v>
      </c>
      <c r="G3" s="4">
        <v>0</v>
      </c>
      <c r="H3" s="14">
        <v>83.47</v>
      </c>
      <c r="I3" t="s">
        <v>15</v>
      </c>
      <c r="J3" t="s">
        <v>12</v>
      </c>
    </row>
    <row r="4" spans="1:10" x14ac:dyDescent="0.3">
      <c r="A4" s="16" t="s">
        <v>19</v>
      </c>
      <c r="B4" t="s">
        <v>15</v>
      </c>
      <c r="C4" t="s">
        <v>14</v>
      </c>
      <c r="D4" t="s">
        <v>11</v>
      </c>
      <c r="E4" s="12">
        <v>46169</v>
      </c>
      <c r="F4" s="7">
        <v>2</v>
      </c>
      <c r="G4" s="4">
        <v>0</v>
      </c>
      <c r="H4" s="4">
        <f t="shared" ref="H4:H5" si="0">SUM(F4,G4)</f>
        <v>2</v>
      </c>
      <c r="I4" t="s">
        <v>15</v>
      </c>
      <c r="J4" t="s">
        <v>12</v>
      </c>
    </row>
    <row r="5" spans="1:10" x14ac:dyDescent="0.3">
      <c r="A5" s="15" t="s">
        <v>20</v>
      </c>
      <c r="B5" t="s">
        <v>15</v>
      </c>
      <c r="C5" t="s">
        <v>14</v>
      </c>
      <c r="D5" t="s">
        <v>11</v>
      </c>
      <c r="E5" s="12">
        <v>46169</v>
      </c>
      <c r="F5" s="7">
        <v>19.68</v>
      </c>
      <c r="G5" s="4">
        <v>0</v>
      </c>
      <c r="H5" s="4">
        <f t="shared" si="0"/>
        <v>19.68</v>
      </c>
      <c r="I5" t="s">
        <v>15</v>
      </c>
      <c r="J5" t="s">
        <v>12</v>
      </c>
    </row>
    <row r="6" spans="1:10" x14ac:dyDescent="0.3">
      <c r="A6" s="16" t="s">
        <v>21</v>
      </c>
      <c r="B6" t="s">
        <v>15</v>
      </c>
      <c r="C6" t="s">
        <v>14</v>
      </c>
      <c r="D6" t="s">
        <v>11</v>
      </c>
      <c r="E6" s="12">
        <v>46169</v>
      </c>
      <c r="F6" s="7">
        <v>1.18</v>
      </c>
      <c r="G6" s="4">
        <v>0</v>
      </c>
      <c r="H6" s="4">
        <v>197.21</v>
      </c>
      <c r="I6" t="s">
        <v>15</v>
      </c>
      <c r="J6" t="s">
        <v>12</v>
      </c>
    </row>
    <row r="7" spans="1:10" x14ac:dyDescent="0.3">
      <c r="A7" s="9">
        <v>3320032440761</v>
      </c>
      <c r="B7" t="s">
        <v>15</v>
      </c>
      <c r="C7" t="s">
        <v>14</v>
      </c>
      <c r="D7" t="s">
        <v>22</v>
      </c>
      <c r="E7" s="12">
        <v>46172</v>
      </c>
      <c r="F7" s="18">
        <v>4</v>
      </c>
      <c r="G7" s="4">
        <v>0</v>
      </c>
      <c r="H7" s="17">
        <v>4</v>
      </c>
      <c r="I7" t="s">
        <v>15</v>
      </c>
      <c r="J7" t="s">
        <v>12</v>
      </c>
    </row>
    <row r="8" spans="1:10" x14ac:dyDescent="0.3">
      <c r="A8" s="9">
        <v>3320032446235</v>
      </c>
      <c r="B8" t="s">
        <v>15</v>
      </c>
      <c r="C8" t="s">
        <v>14</v>
      </c>
      <c r="D8" t="s">
        <v>22</v>
      </c>
      <c r="E8" s="12">
        <v>46172</v>
      </c>
      <c r="F8" s="18">
        <v>27.32</v>
      </c>
      <c r="G8" s="4">
        <v>0</v>
      </c>
      <c r="H8" s="17">
        <v>27.32</v>
      </c>
      <c r="I8" t="s">
        <v>15</v>
      </c>
      <c r="J8" t="s">
        <v>12</v>
      </c>
    </row>
    <row r="9" spans="1:10" x14ac:dyDescent="0.3">
      <c r="A9" s="9">
        <v>3320061449827</v>
      </c>
      <c r="B9" t="s">
        <v>15</v>
      </c>
      <c r="C9" t="s">
        <v>14</v>
      </c>
      <c r="D9" t="s">
        <v>22</v>
      </c>
      <c r="E9" s="12">
        <v>46172</v>
      </c>
      <c r="F9" s="18">
        <v>3</v>
      </c>
      <c r="G9" s="4">
        <v>0</v>
      </c>
      <c r="H9" s="17">
        <v>3</v>
      </c>
      <c r="I9" t="s">
        <v>15</v>
      </c>
      <c r="J9" t="s">
        <v>12</v>
      </c>
    </row>
    <row r="10" spans="1:10" x14ac:dyDescent="0.3">
      <c r="A10" s="9">
        <v>6040226292911</v>
      </c>
      <c r="B10" t="s">
        <v>15</v>
      </c>
      <c r="C10" t="s">
        <v>14</v>
      </c>
      <c r="D10" t="s">
        <v>22</v>
      </c>
      <c r="E10" s="12">
        <v>46172</v>
      </c>
      <c r="F10" s="18">
        <v>0.16</v>
      </c>
      <c r="G10" s="4">
        <v>0</v>
      </c>
      <c r="H10" s="17">
        <v>0.16</v>
      </c>
      <c r="I10" t="s">
        <v>15</v>
      </c>
      <c r="J10" t="s">
        <v>12</v>
      </c>
    </row>
    <row r="11" spans="1:10" x14ac:dyDescent="0.3">
      <c r="A11" s="9">
        <v>6051426294827</v>
      </c>
      <c r="B11" t="s">
        <v>15</v>
      </c>
      <c r="C11" t="s">
        <v>14</v>
      </c>
      <c r="D11" t="s">
        <v>22</v>
      </c>
      <c r="E11" s="12">
        <v>46172</v>
      </c>
      <c r="F11" s="18">
        <v>0.54</v>
      </c>
      <c r="G11" s="4">
        <v>0</v>
      </c>
      <c r="H11" s="17">
        <v>0.54</v>
      </c>
      <c r="I11" t="s">
        <v>15</v>
      </c>
      <c r="J11" t="s">
        <v>12</v>
      </c>
    </row>
    <row r="12" spans="1:10" x14ac:dyDescent="0.3">
      <c r="A12" s="9">
        <v>6051526155904</v>
      </c>
      <c r="B12" t="s">
        <v>15</v>
      </c>
      <c r="C12" t="s">
        <v>14</v>
      </c>
      <c r="D12" t="s">
        <v>22</v>
      </c>
      <c r="E12" s="12">
        <v>46172</v>
      </c>
      <c r="F12" s="18">
        <v>3.25</v>
      </c>
      <c r="G12" s="4">
        <v>0</v>
      </c>
      <c r="H12" s="17">
        <v>3.25</v>
      </c>
      <c r="I12" t="s">
        <v>15</v>
      </c>
      <c r="J12" t="s">
        <v>12</v>
      </c>
    </row>
    <row r="13" spans="1:10" x14ac:dyDescent="0.3">
      <c r="A13" s="9">
        <v>6051526257232</v>
      </c>
      <c r="B13" t="s">
        <v>15</v>
      </c>
      <c r="C13" t="s">
        <v>14</v>
      </c>
      <c r="D13" t="s">
        <v>22</v>
      </c>
      <c r="E13" s="12">
        <v>46172</v>
      </c>
      <c r="F13" s="18">
        <v>1.3</v>
      </c>
      <c r="G13" s="4">
        <v>0</v>
      </c>
      <c r="H13" s="17">
        <v>1.3</v>
      </c>
      <c r="I13" t="s">
        <v>15</v>
      </c>
      <c r="J13" t="s">
        <v>12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D2A32-D49E-4976-8101-7E1F612804FB}">
  <dimension ref="A1:J15"/>
  <sheetViews>
    <sheetView workbookViewId="0">
      <selection activeCell="J8" sqref="A1:J8"/>
    </sheetView>
  </sheetViews>
  <sheetFormatPr defaultRowHeight="14.4" x14ac:dyDescent="0.3"/>
  <cols>
    <col min="1" max="1" width="15.5546875" bestFit="1" customWidth="1"/>
    <col min="2" max="2" width="24.33203125" bestFit="1" customWidth="1"/>
    <col min="4" max="4" width="12.44140625" bestFit="1" customWidth="1"/>
    <col min="5" max="5" width="10.44140625" bestFit="1" customWidth="1"/>
    <col min="6" max="6" width="9.44140625" bestFit="1" customWidth="1"/>
    <col min="7" max="7" width="16.109375" bestFit="1" customWidth="1"/>
    <col min="8" max="8" width="10.5546875" bestFit="1" customWidth="1"/>
  </cols>
  <sheetData>
    <row r="1" spans="1:10" ht="25.8" x14ac:dyDescent="0.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3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x14ac:dyDescent="0.3">
      <c r="A3" s="13">
        <v>3320049458848</v>
      </c>
      <c r="B3" t="s">
        <v>15</v>
      </c>
      <c r="C3" t="s">
        <v>16</v>
      </c>
      <c r="D3" t="s">
        <v>13</v>
      </c>
      <c r="E3" s="12">
        <v>46170</v>
      </c>
      <c r="F3" s="19">
        <v>55.29</v>
      </c>
      <c r="G3" s="4">
        <v>100</v>
      </c>
      <c r="H3" s="4">
        <f>SUM(F3,G3)</f>
        <v>155.29</v>
      </c>
      <c r="I3" t="s">
        <v>17</v>
      </c>
      <c r="J3" t="s">
        <v>12</v>
      </c>
    </row>
    <row r="4" spans="1:10" x14ac:dyDescent="0.3">
      <c r="A4" s="9" t="s">
        <v>23</v>
      </c>
      <c r="B4" t="s">
        <v>24</v>
      </c>
      <c r="C4" t="s">
        <v>16</v>
      </c>
      <c r="D4" t="s">
        <v>13</v>
      </c>
      <c r="E4" s="12">
        <v>46163</v>
      </c>
      <c r="F4" s="18">
        <v>1.18</v>
      </c>
      <c r="G4" s="4">
        <v>100</v>
      </c>
      <c r="H4" s="4">
        <f>SUM(F4,G4)</f>
        <v>101.18</v>
      </c>
      <c r="I4" t="s">
        <v>25</v>
      </c>
      <c r="J4" t="s">
        <v>12</v>
      </c>
    </row>
    <row r="5" spans="1:10" x14ac:dyDescent="0.3">
      <c r="A5" s="5">
        <v>3320050467095</v>
      </c>
      <c r="B5" t="s">
        <v>15</v>
      </c>
      <c r="C5" t="s">
        <v>16</v>
      </c>
      <c r="D5" t="s">
        <v>22</v>
      </c>
      <c r="E5" s="12">
        <v>46172</v>
      </c>
      <c r="F5" s="7">
        <v>5.13</v>
      </c>
      <c r="G5" s="4">
        <v>0</v>
      </c>
      <c r="H5" s="7">
        <v>5.13</v>
      </c>
      <c r="I5" t="s">
        <v>15</v>
      </c>
      <c r="J5" t="s">
        <v>12</v>
      </c>
    </row>
    <row r="6" spans="1:10" x14ac:dyDescent="0.3">
      <c r="A6" s="10">
        <v>3320048467635</v>
      </c>
      <c r="B6" t="s">
        <v>15</v>
      </c>
      <c r="C6" t="s">
        <v>16</v>
      </c>
      <c r="D6" t="s">
        <v>22</v>
      </c>
      <c r="E6" s="12">
        <v>46172</v>
      </c>
      <c r="F6" s="7">
        <v>1.7</v>
      </c>
      <c r="G6" s="4">
        <v>0</v>
      </c>
      <c r="H6" s="7">
        <v>5.13</v>
      </c>
      <c r="I6" t="s">
        <v>15</v>
      </c>
      <c r="J6" t="s">
        <v>12</v>
      </c>
    </row>
    <row r="7" spans="1:10" ht="15" x14ac:dyDescent="0.35">
      <c r="A7" s="11">
        <v>6052126170497</v>
      </c>
      <c r="B7" t="s">
        <v>15</v>
      </c>
      <c r="C7" t="s">
        <v>16</v>
      </c>
      <c r="D7" t="s">
        <v>22</v>
      </c>
      <c r="E7" s="12">
        <v>46172</v>
      </c>
      <c r="F7" s="7">
        <v>46.97</v>
      </c>
      <c r="G7" s="4">
        <v>0</v>
      </c>
      <c r="H7" s="7">
        <v>5.13</v>
      </c>
      <c r="I7" t="s">
        <v>15</v>
      </c>
      <c r="J7" t="s">
        <v>12</v>
      </c>
    </row>
    <row r="8" spans="1:10" x14ac:dyDescent="0.3">
      <c r="A8" s="9">
        <v>3320020436444</v>
      </c>
      <c r="B8" t="s">
        <v>15</v>
      </c>
      <c r="C8" t="s">
        <v>16</v>
      </c>
      <c r="D8" t="s">
        <v>22</v>
      </c>
      <c r="E8" s="12">
        <v>46172</v>
      </c>
      <c r="F8" s="7">
        <v>19.68</v>
      </c>
      <c r="G8" s="4">
        <v>0</v>
      </c>
      <c r="H8" s="7">
        <v>5.13</v>
      </c>
      <c r="I8" t="s">
        <v>15</v>
      </c>
      <c r="J8" t="s">
        <v>12</v>
      </c>
    </row>
    <row r="9" spans="1:10" x14ac:dyDescent="0.3">
      <c r="A9" s="9"/>
      <c r="E9" s="12"/>
      <c r="F9" s="18"/>
      <c r="G9" s="4"/>
      <c r="H9" s="17"/>
    </row>
    <row r="10" spans="1:10" x14ac:dyDescent="0.3">
      <c r="A10" s="9"/>
      <c r="E10" s="12"/>
      <c r="F10" s="18"/>
      <c r="G10" s="4"/>
      <c r="H10" s="17"/>
    </row>
    <row r="11" spans="1:10" x14ac:dyDescent="0.3">
      <c r="A11" s="9"/>
      <c r="E11" s="12"/>
      <c r="F11" s="18"/>
      <c r="G11" s="4"/>
      <c r="H11" s="17"/>
    </row>
    <row r="12" spans="1:10" x14ac:dyDescent="0.3">
      <c r="A12" s="9"/>
      <c r="E12" s="12"/>
      <c r="F12" s="18"/>
      <c r="G12" s="4"/>
      <c r="H12" s="17"/>
    </row>
    <row r="13" spans="1:10" x14ac:dyDescent="0.3">
      <c r="A13" s="9"/>
      <c r="E13" s="12"/>
      <c r="F13" s="18"/>
      <c r="G13" s="4"/>
      <c r="H13" s="17"/>
    </row>
    <row r="14" spans="1:10" x14ac:dyDescent="0.3">
      <c r="A14" s="9"/>
      <c r="E14" s="12"/>
      <c r="F14" s="18"/>
      <c r="G14" s="4"/>
      <c r="H14" s="17"/>
    </row>
    <row r="15" spans="1:10" x14ac:dyDescent="0.3">
      <c r="A15" s="9"/>
      <c r="E15" s="12"/>
      <c r="F15" s="18"/>
      <c r="G15" s="4"/>
      <c r="H15" s="17"/>
    </row>
  </sheetData>
  <mergeCells count="1">
    <mergeCell ref="A1:J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0F3B-9332-4606-8378-421D11406EC6}">
  <dimension ref="A1:J16"/>
  <sheetViews>
    <sheetView tabSelected="1" workbookViewId="0">
      <selection activeCell="E13" sqref="E13"/>
    </sheetView>
  </sheetViews>
  <sheetFormatPr defaultRowHeight="14.4" x14ac:dyDescent="0.3"/>
  <cols>
    <col min="1" max="1" width="15.5546875" bestFit="1" customWidth="1"/>
    <col min="2" max="2" width="22.21875" bestFit="1" customWidth="1"/>
    <col min="4" max="4" width="9.33203125" bestFit="1" customWidth="1"/>
    <col min="5" max="5" width="10.33203125" bestFit="1" customWidth="1"/>
    <col min="7" max="7" width="14.88671875" bestFit="1" customWidth="1"/>
    <col min="8" max="8" width="10.33203125" bestFit="1" customWidth="1"/>
  </cols>
  <sheetData>
    <row r="1" spans="1:10" ht="25.8" x14ac:dyDescent="0.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3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x14ac:dyDescent="0.3">
      <c r="A3" s="33">
        <v>6061126537855</v>
      </c>
      <c r="B3" t="s">
        <v>15</v>
      </c>
      <c r="C3" t="s">
        <v>14</v>
      </c>
      <c r="D3" t="s">
        <v>41</v>
      </c>
      <c r="E3" s="12">
        <v>46189</v>
      </c>
      <c r="F3" s="19">
        <v>0.75</v>
      </c>
      <c r="G3" s="4">
        <v>0</v>
      </c>
      <c r="H3" s="4">
        <f t="shared" ref="H3:H10" si="0">SUM(F3,G3)</f>
        <v>0.75</v>
      </c>
      <c r="I3" t="s">
        <v>15</v>
      </c>
      <c r="J3" t="s">
        <v>12</v>
      </c>
    </row>
    <row r="4" spans="1:10" x14ac:dyDescent="0.3">
      <c r="A4" s="9">
        <v>6060826685947</v>
      </c>
      <c r="B4" t="s">
        <v>15</v>
      </c>
      <c r="C4" t="s">
        <v>14</v>
      </c>
      <c r="D4" t="s">
        <v>41</v>
      </c>
      <c r="E4" s="12">
        <v>46189</v>
      </c>
      <c r="F4" s="19">
        <v>5.05</v>
      </c>
      <c r="G4" s="4">
        <v>0</v>
      </c>
      <c r="H4" s="4">
        <f t="shared" si="0"/>
        <v>5.05</v>
      </c>
      <c r="I4" t="s">
        <v>15</v>
      </c>
      <c r="J4" t="s">
        <v>12</v>
      </c>
    </row>
    <row r="5" spans="1:10" ht="15" x14ac:dyDescent="0.35">
      <c r="A5" s="11">
        <v>6061626514839</v>
      </c>
      <c r="B5" t="s">
        <v>15</v>
      </c>
      <c r="C5" t="s">
        <v>14</v>
      </c>
      <c r="D5" t="s">
        <v>41</v>
      </c>
      <c r="E5" s="12">
        <v>46189</v>
      </c>
      <c r="F5" s="19">
        <v>11.9</v>
      </c>
      <c r="G5" s="4">
        <v>0</v>
      </c>
      <c r="H5" s="4">
        <f t="shared" si="0"/>
        <v>11.9</v>
      </c>
      <c r="I5" t="s">
        <v>15</v>
      </c>
      <c r="J5" t="s">
        <v>12</v>
      </c>
    </row>
    <row r="6" spans="1:10" x14ac:dyDescent="0.3">
      <c r="A6" s="13">
        <v>6060926859920</v>
      </c>
      <c r="B6" t="s">
        <v>15</v>
      </c>
      <c r="C6" t="s">
        <v>14</v>
      </c>
      <c r="D6" t="s">
        <v>41</v>
      </c>
      <c r="E6" s="12">
        <v>46189</v>
      </c>
      <c r="F6" s="19">
        <v>17</v>
      </c>
      <c r="G6" s="4">
        <v>0</v>
      </c>
      <c r="H6" s="4">
        <f t="shared" si="0"/>
        <v>17</v>
      </c>
      <c r="I6" t="s">
        <v>15</v>
      </c>
      <c r="J6" t="s">
        <v>12</v>
      </c>
    </row>
    <row r="7" spans="1:10" x14ac:dyDescent="0.3">
      <c r="A7" s="5">
        <v>6060926844021</v>
      </c>
      <c r="B7" t="s">
        <v>15</v>
      </c>
      <c r="C7" t="s">
        <v>14</v>
      </c>
      <c r="D7" t="s">
        <v>41</v>
      </c>
      <c r="E7" s="12">
        <v>46189</v>
      </c>
      <c r="F7" s="19">
        <v>25.65</v>
      </c>
      <c r="G7" s="4">
        <v>0</v>
      </c>
      <c r="H7" s="4">
        <f t="shared" si="0"/>
        <v>25.65</v>
      </c>
      <c r="I7" t="s">
        <v>15</v>
      </c>
      <c r="J7" t="s">
        <v>12</v>
      </c>
    </row>
    <row r="8" spans="1:10" x14ac:dyDescent="0.3">
      <c r="A8" s="13">
        <v>3320002541352</v>
      </c>
      <c r="B8" t="s">
        <v>15</v>
      </c>
      <c r="C8" t="s">
        <v>14</v>
      </c>
      <c r="D8" t="s">
        <v>41</v>
      </c>
      <c r="E8" s="12">
        <v>46192</v>
      </c>
      <c r="F8" s="19">
        <v>40.4</v>
      </c>
      <c r="G8" s="4">
        <v>0</v>
      </c>
      <c r="H8" s="4">
        <f t="shared" si="0"/>
        <v>40.4</v>
      </c>
      <c r="I8" t="s">
        <v>15</v>
      </c>
      <c r="J8" t="s">
        <v>12</v>
      </c>
    </row>
    <row r="9" spans="1:10" x14ac:dyDescent="0.3">
      <c r="A9" s="13">
        <v>3320069512133</v>
      </c>
      <c r="B9" t="s">
        <v>28</v>
      </c>
      <c r="C9" t="s">
        <v>14</v>
      </c>
      <c r="D9" t="s">
        <v>43</v>
      </c>
      <c r="E9" s="12">
        <v>46192</v>
      </c>
      <c r="F9" s="19">
        <v>4.12</v>
      </c>
      <c r="G9" s="4">
        <v>100</v>
      </c>
      <c r="H9" s="4">
        <f t="shared" si="0"/>
        <v>104.12</v>
      </c>
      <c r="I9" t="s">
        <v>44</v>
      </c>
      <c r="J9" t="s">
        <v>12</v>
      </c>
    </row>
    <row r="10" spans="1:10" x14ac:dyDescent="0.3">
      <c r="A10" s="9">
        <v>3320014498296</v>
      </c>
      <c r="B10" t="s">
        <v>15</v>
      </c>
      <c r="C10" t="s">
        <v>14</v>
      </c>
      <c r="D10" t="s">
        <v>45</v>
      </c>
      <c r="E10" s="12">
        <v>46189</v>
      </c>
      <c r="F10" s="19">
        <v>25.37</v>
      </c>
      <c r="G10" s="4">
        <v>100</v>
      </c>
      <c r="H10" s="7">
        <f t="shared" si="0"/>
        <v>125.37</v>
      </c>
      <c r="I10" t="s">
        <v>15</v>
      </c>
      <c r="J10" t="s">
        <v>12</v>
      </c>
    </row>
    <row r="12" spans="1:10" x14ac:dyDescent="0.3">
      <c r="A12" s="9"/>
      <c r="E12" s="12"/>
      <c r="F12" s="18"/>
      <c r="G12" s="4"/>
      <c r="H12" s="4"/>
    </row>
    <row r="13" spans="1:10" x14ac:dyDescent="0.3">
      <c r="A13" s="5"/>
      <c r="E13" s="12"/>
      <c r="F13" s="7"/>
      <c r="G13" s="4"/>
      <c r="H13" s="7"/>
    </row>
    <row r="14" spans="1:10" x14ac:dyDescent="0.3">
      <c r="A14" s="10"/>
      <c r="E14" s="12"/>
      <c r="F14" s="7"/>
      <c r="G14" s="4"/>
      <c r="H14" s="7"/>
    </row>
    <row r="15" spans="1:10" ht="15" x14ac:dyDescent="0.35">
      <c r="A15" s="11"/>
      <c r="E15" s="12"/>
      <c r="F15" s="7"/>
      <c r="G15" s="4"/>
      <c r="H15" s="7"/>
    </row>
    <row r="16" spans="1:10" x14ac:dyDescent="0.3">
      <c r="A16" s="9"/>
      <c r="E16" s="12"/>
      <c r="F16" s="7"/>
      <c r="G16" s="4"/>
      <c r="H16" s="7"/>
    </row>
  </sheetData>
  <sortState xmlns:xlrd2="http://schemas.microsoft.com/office/spreadsheetml/2017/richdata2" ref="A3:J10">
    <sortCondition ref="H10"/>
  </sortState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6283-9C5E-48D4-A196-B2F479577CD6}">
  <dimension ref="A1:J8"/>
  <sheetViews>
    <sheetView workbookViewId="0">
      <selection activeCell="F15" sqref="F15"/>
    </sheetView>
  </sheetViews>
  <sheetFormatPr defaultRowHeight="14.4" x14ac:dyDescent="0.3"/>
  <cols>
    <col min="1" max="1" width="14.109375" bestFit="1" customWidth="1"/>
    <col min="2" max="2" width="22.21875" bestFit="1" customWidth="1"/>
    <col min="4" max="4" width="9" bestFit="1" customWidth="1"/>
    <col min="5" max="5" width="10.33203125" bestFit="1" customWidth="1"/>
    <col min="6" max="6" width="14.109375" bestFit="1" customWidth="1"/>
    <col min="8" max="8" width="9.33203125" bestFit="1" customWidth="1"/>
  </cols>
  <sheetData>
    <row r="1" spans="1:10" ht="25.8" x14ac:dyDescent="0.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3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x14ac:dyDescent="0.3">
      <c r="A3" s="5">
        <v>6060426292015</v>
      </c>
      <c r="B3" t="s">
        <v>15</v>
      </c>
      <c r="C3" t="s">
        <v>16</v>
      </c>
      <c r="D3" t="s">
        <v>22</v>
      </c>
      <c r="E3" s="12">
        <v>46189</v>
      </c>
      <c r="F3" s="19">
        <v>1.7</v>
      </c>
      <c r="G3" s="4">
        <v>0</v>
      </c>
      <c r="H3" s="4">
        <f t="shared" ref="H3:H8" si="0">SUM(F3,G3)</f>
        <v>1.7</v>
      </c>
      <c r="I3" t="s">
        <v>15</v>
      </c>
      <c r="J3" t="s">
        <v>12</v>
      </c>
    </row>
    <row r="4" spans="1:10" x14ac:dyDescent="0.3">
      <c r="A4" s="9">
        <v>6060426661703</v>
      </c>
      <c r="B4" t="s">
        <v>15</v>
      </c>
      <c r="C4" t="s">
        <v>16</v>
      </c>
      <c r="D4" t="s">
        <v>22</v>
      </c>
      <c r="E4" s="12">
        <v>46189</v>
      </c>
      <c r="F4" s="19">
        <v>4.95</v>
      </c>
      <c r="G4" s="4">
        <v>0</v>
      </c>
      <c r="H4" s="22">
        <f t="shared" si="0"/>
        <v>4.95</v>
      </c>
      <c r="I4" t="s">
        <v>15</v>
      </c>
      <c r="J4" t="s">
        <v>12</v>
      </c>
    </row>
    <row r="5" spans="1:10" x14ac:dyDescent="0.3">
      <c r="A5" s="32">
        <v>6060426155103</v>
      </c>
      <c r="B5" t="s">
        <v>15</v>
      </c>
      <c r="C5" t="s">
        <v>16</v>
      </c>
      <c r="D5" t="s">
        <v>22</v>
      </c>
      <c r="E5" s="12">
        <v>46189</v>
      </c>
      <c r="F5" s="19">
        <v>5.13</v>
      </c>
      <c r="G5" s="4">
        <v>0</v>
      </c>
      <c r="H5" s="22">
        <f t="shared" si="0"/>
        <v>5.13</v>
      </c>
      <c r="I5" t="s">
        <v>15</v>
      </c>
      <c r="J5" t="s">
        <v>12</v>
      </c>
    </row>
    <row r="6" spans="1:10" x14ac:dyDescent="0.3">
      <c r="A6" s="5">
        <v>3320077544339</v>
      </c>
      <c r="B6" t="s">
        <v>15</v>
      </c>
      <c r="C6" t="s">
        <v>16</v>
      </c>
      <c r="D6" t="s">
        <v>22</v>
      </c>
      <c r="E6" s="12">
        <v>46192</v>
      </c>
      <c r="F6" s="19">
        <v>27.1</v>
      </c>
      <c r="G6" s="4">
        <v>0</v>
      </c>
      <c r="H6" s="4">
        <f t="shared" si="0"/>
        <v>27.1</v>
      </c>
      <c r="I6" t="s">
        <v>15</v>
      </c>
      <c r="J6" t="s">
        <v>12</v>
      </c>
    </row>
    <row r="7" spans="1:10" x14ac:dyDescent="0.3">
      <c r="A7" s="5">
        <v>3320097542483</v>
      </c>
      <c r="B7" t="s">
        <v>15</v>
      </c>
      <c r="C7" t="s">
        <v>16</v>
      </c>
      <c r="D7" t="s">
        <v>22</v>
      </c>
      <c r="E7" s="12">
        <v>46192</v>
      </c>
      <c r="F7" s="19">
        <v>49</v>
      </c>
      <c r="G7" s="4">
        <v>0</v>
      </c>
      <c r="H7" s="4">
        <f t="shared" si="0"/>
        <v>49</v>
      </c>
      <c r="I7" t="s">
        <v>15</v>
      </c>
      <c r="J7" t="s">
        <v>12</v>
      </c>
    </row>
    <row r="8" spans="1:10" x14ac:dyDescent="0.3">
      <c r="A8" s="5">
        <v>3320061548317</v>
      </c>
      <c r="B8" t="s">
        <v>42</v>
      </c>
      <c r="C8" t="s">
        <v>16</v>
      </c>
      <c r="D8" t="s">
        <v>22</v>
      </c>
      <c r="E8" s="12">
        <v>46192</v>
      </c>
      <c r="F8" s="19">
        <v>13.09</v>
      </c>
      <c r="G8" s="4">
        <v>0</v>
      </c>
      <c r="H8" s="4">
        <f t="shared" si="0"/>
        <v>13.09</v>
      </c>
      <c r="I8" t="s">
        <v>15</v>
      </c>
      <c r="J8" t="s">
        <v>12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6E7E-259C-4229-8077-11500C499C11}">
  <dimension ref="A1:J8"/>
  <sheetViews>
    <sheetView workbookViewId="0">
      <selection activeCell="J4" sqref="A3:J4"/>
    </sheetView>
  </sheetViews>
  <sheetFormatPr defaultRowHeight="14.4" x14ac:dyDescent="0.3"/>
  <cols>
    <col min="1" max="1" width="14.109375" bestFit="1" customWidth="1"/>
    <col min="2" max="2" width="22.21875" bestFit="1" customWidth="1"/>
    <col min="4" max="4" width="13.33203125" bestFit="1" customWidth="1"/>
    <col min="5" max="5" width="10.33203125" bestFit="1" customWidth="1"/>
    <col min="6" max="6" width="14.109375" bestFit="1" customWidth="1"/>
    <col min="7" max="7" width="14.88671875" bestFit="1" customWidth="1"/>
    <col min="8" max="8" width="10.33203125" bestFit="1" customWidth="1"/>
    <col min="9" max="9" width="12.5546875" bestFit="1" customWidth="1"/>
  </cols>
  <sheetData>
    <row r="1" spans="1:10" ht="25.8" x14ac:dyDescent="0.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3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x14ac:dyDescent="0.3">
      <c r="A3" s="13"/>
      <c r="E3" s="12"/>
      <c r="F3" s="19"/>
      <c r="G3" s="4"/>
      <c r="H3" s="4"/>
    </row>
    <row r="4" spans="1:10" x14ac:dyDescent="0.3">
      <c r="A4" s="13"/>
      <c r="E4" s="12"/>
      <c r="F4" s="19"/>
      <c r="G4" s="4"/>
      <c r="H4" s="4"/>
    </row>
    <row r="5" spans="1:10" x14ac:dyDescent="0.3">
      <c r="A5" s="13"/>
    </row>
    <row r="6" spans="1:10" x14ac:dyDescent="0.3">
      <c r="A6" s="13"/>
    </row>
    <row r="7" spans="1:10" x14ac:dyDescent="0.3">
      <c r="A7" s="13"/>
    </row>
    <row r="8" spans="1:10" x14ac:dyDescent="0.3">
      <c r="A8" s="13"/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253A-C44C-48C2-91BB-CFCFBE5864C9}">
  <dimension ref="A1:J5"/>
  <sheetViews>
    <sheetView workbookViewId="0">
      <selection activeCell="J5" sqref="A3:J5"/>
    </sheetView>
  </sheetViews>
  <sheetFormatPr defaultRowHeight="14.4" x14ac:dyDescent="0.3"/>
  <cols>
    <col min="1" max="1" width="14.109375" bestFit="1" customWidth="1"/>
    <col min="2" max="2" width="22.21875" bestFit="1" customWidth="1"/>
    <col min="5" max="5" width="10.33203125" bestFit="1" customWidth="1"/>
    <col min="6" max="6" width="14.109375" bestFit="1" customWidth="1"/>
    <col min="8" max="8" width="9.33203125" bestFit="1" customWidth="1"/>
    <col min="10" max="10" width="11.5546875" bestFit="1" customWidth="1"/>
  </cols>
  <sheetData>
    <row r="1" spans="1:10" ht="25.8" x14ac:dyDescent="0.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3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x14ac:dyDescent="0.3">
      <c r="A3" s="5"/>
      <c r="E3" s="12"/>
      <c r="F3" s="19"/>
      <c r="G3" s="4"/>
      <c r="H3" s="4"/>
    </row>
    <row r="4" spans="1:10" x14ac:dyDescent="0.3">
      <c r="A4" s="5"/>
      <c r="E4" s="12"/>
      <c r="F4" s="19"/>
      <c r="G4" s="4"/>
      <c r="H4" s="4"/>
    </row>
    <row r="5" spans="1:10" x14ac:dyDescent="0.3">
      <c r="A5" s="5"/>
      <c r="E5" s="12"/>
      <c r="F5" s="19"/>
      <c r="G5" s="4"/>
      <c r="H5" s="4"/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JML 1q MAIO</vt:lpstr>
      <vt:lpstr>ITR 1q MAIO</vt:lpstr>
      <vt:lpstr>JML 2q MAIO</vt:lpstr>
      <vt:lpstr>ITR 2q MAIO</vt:lpstr>
      <vt:lpstr>JML 1q JUN</vt:lpstr>
      <vt:lpstr>ITR 1q JUN</vt:lpstr>
      <vt:lpstr>JML 2q JUN</vt:lpstr>
      <vt:lpstr>ITR 2q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Cauã Filipi</dc:creator>
  <cp:lastModifiedBy>itallo vieira</cp:lastModifiedBy>
  <dcterms:created xsi:type="dcterms:W3CDTF">2026-05-23T09:02:12Z</dcterms:created>
  <dcterms:modified xsi:type="dcterms:W3CDTF">2026-06-22T10:30:39Z</dcterms:modified>
</cp:coreProperties>
</file>